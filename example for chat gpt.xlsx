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Save the Children\01 FMFA\Posmishka\% of children who demonstrate improved mental health andor psychosocial wellbeing (MHPSS)\py test\"/>
    </mc:Choice>
  </mc:AlternateContent>
  <xr:revisionPtr revIDLastSave="0" documentId="13_ncr:1_{D573AEB9-4E79-4332-A9C4-2C7B76163CCB}" xr6:coauthVersionLast="47" xr6:coauthVersionMax="47" xr10:uidLastSave="{00000000-0000-0000-0000-000000000000}"/>
  <bookViews>
    <workbookView xWindow="28680" yWindow="-210" windowWidth="29040" windowHeight="15840" xr2:uid="{00000000-000D-0000-FFFF-FFFF00000000}"/>
  </bookViews>
  <sheets>
    <sheet name="Sheet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5" i="1" l="1"/>
  <c r="BI5" i="1"/>
  <c r="BH5" i="1"/>
  <c r="BG5" i="1"/>
  <c r="BF5" i="1"/>
  <c r="BE5" i="1"/>
  <c r="BD5" i="1"/>
  <c r="BC5" i="1"/>
  <c r="BB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 a="1"/>
  <c r="AH5" i="1" s="1"/>
  <c r="BS4" i="1"/>
  <c r="BI4" i="1"/>
  <c r="BH4" i="1"/>
  <c r="BG4" i="1"/>
  <c r="BF4" i="1"/>
  <c r="BE4" i="1"/>
  <c r="BD4" i="1"/>
  <c r="BC4" i="1"/>
  <c r="BB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 a="1"/>
  <c r="AH4" i="1" s="1"/>
  <c r="BS3" i="1"/>
  <c r="BI3" i="1"/>
  <c r="BH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AJ3" i="1"/>
  <c r="AI3" i="1"/>
  <c r="AH3" i="1" a="1"/>
  <c r="AH3" i="1" s="1"/>
  <c r="BS2" i="1"/>
  <c r="BI2" i="1"/>
  <c r="BH2" i="1"/>
  <c r="BG2" i="1"/>
  <c r="BF2" i="1"/>
  <c r="BE2" i="1"/>
  <c r="BD2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 a="1"/>
  <c r="AH2" i="1" s="1"/>
  <c r="BA4" i="1" l="1"/>
  <c r="BA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<sst xmlns="http://schemas.openxmlformats.org/spreadsheetml/2006/main" count="201" uniqueCount="130">
  <si>
    <t>Household ID</t>
  </si>
  <si>
    <t>Location ID</t>
  </si>
  <si>
    <t>Child ID</t>
  </si>
  <si>
    <t>Oblast</t>
  </si>
  <si>
    <t>Raion</t>
  </si>
  <si>
    <t>Hromada</t>
  </si>
  <si>
    <t>Settlement</t>
  </si>
  <si>
    <t>Adress</t>
  </si>
  <si>
    <t>Mobile or CFS</t>
  </si>
  <si>
    <t>Date of registration</t>
  </si>
  <si>
    <t>Full Parent Name</t>
  </si>
  <si>
    <t>Parents phone</t>
  </si>
  <si>
    <t>Surname</t>
  </si>
  <si>
    <t>First Name</t>
  </si>
  <si>
    <t>Сhild Full Name</t>
  </si>
  <si>
    <t>Date of birth</t>
  </si>
  <si>
    <t>Age Current</t>
  </si>
  <si>
    <t>Age Group Current</t>
  </si>
  <si>
    <t>Age RegDate</t>
  </si>
  <si>
    <t>Age Group RegDate</t>
  </si>
  <si>
    <t>Gender</t>
  </si>
  <si>
    <t>Status IDP</t>
  </si>
  <si>
    <t>Child registration</t>
  </si>
  <si>
    <t>Disability status</t>
  </si>
  <si>
    <t>Special needs</t>
  </si>
  <si>
    <t>Mention special needs</t>
  </si>
  <si>
    <t>School or Kindergarten</t>
  </si>
  <si>
    <t>Full name edu</t>
  </si>
  <si>
    <t>Grade</t>
  </si>
  <si>
    <t>Kindergarten group</t>
  </si>
  <si>
    <t>Other type of educational</t>
  </si>
  <si>
    <t>Name of partner organization</t>
  </si>
  <si>
    <t>Donor</t>
  </si>
  <si>
    <t>Group number</t>
  </si>
  <si>
    <t>Attendance Total  Count</t>
  </si>
  <si>
    <t>Attendance 1st Date (DEC)</t>
  </si>
  <si>
    <t>Attendance 2nd Date</t>
  </si>
  <si>
    <t>TEAM_UP</t>
  </si>
  <si>
    <t>TEAM_UP Completed</t>
  </si>
  <si>
    <t>TEAM_UP Completed (12) Date</t>
  </si>
  <si>
    <t>HEART</t>
  </si>
  <si>
    <t>HEART Completed</t>
  </si>
  <si>
    <t>HEART Completed (10) Date</t>
  </si>
  <si>
    <t>CYR</t>
  </si>
  <si>
    <t>CYR Completed</t>
  </si>
  <si>
    <t>CYR Completed (10) Date</t>
  </si>
  <si>
    <t>ISMF</t>
  </si>
  <si>
    <t>ISMF Completed</t>
  </si>
  <si>
    <t>ISMF Completed (10) Date</t>
  </si>
  <si>
    <t>SF (Safe Families)</t>
  </si>
  <si>
    <t>JSWP (Joint session with parents)</t>
  </si>
  <si>
    <t>SF + JSWP</t>
  </si>
  <si>
    <t>SF + JSWP Completed (5)</t>
  </si>
  <si>
    <t>SF + JSWP Completed (5) Date</t>
  </si>
  <si>
    <t>Recreational Activity</t>
  </si>
  <si>
    <t>Informal Education Activity</t>
  </si>
  <si>
    <t>SEL</t>
  </si>
  <si>
    <t>SOCR</t>
  </si>
  <si>
    <t>EORE</t>
  </si>
  <si>
    <t>GBV</t>
  </si>
  <si>
    <t>LA</t>
  </si>
  <si>
    <t>WHO5-1</t>
  </si>
  <si>
    <t>WHO5-2</t>
  </si>
  <si>
    <t>WHO5-3</t>
  </si>
  <si>
    <t>WHO5-4</t>
  </si>
  <si>
    <t>WHO5-5</t>
  </si>
  <si>
    <t>User name</t>
  </si>
  <si>
    <t>Opened date</t>
  </si>
  <si>
    <t>Last modified date</t>
  </si>
  <si>
    <t>Closed</t>
  </si>
  <si>
    <t>Deduplication</t>
  </si>
  <si>
    <t>b5df0af0-a65b-47ad-8496-24c4093ebd4a</t>
  </si>
  <si>
    <t>343f1c09-91ee-45c7-990e-cd7e99996e76</t>
  </si>
  <si>
    <t>1158be27-c991-4dbd-85bc-1c38e8c41cc8</t>
  </si>
  <si>
    <t>Харківська</t>
  </si>
  <si>
    <t>Богодухівський</t>
  </si>
  <si>
    <t>Богодухівська</t>
  </si>
  <si>
    <t>Богодухів</t>
  </si>
  <si>
    <t>м. Богодухів, пров. Робітничий,11А</t>
  </si>
  <si>
    <t>Mobile</t>
  </si>
  <si>
    <t>Бондаренко Майя</t>
  </si>
  <si>
    <t>0996853233</t>
  </si>
  <si>
    <t>Бондаренко</t>
  </si>
  <si>
    <t>Єкатерина</t>
  </si>
  <si>
    <t>Бондаренко Єкатерина</t>
  </si>
  <si>
    <t>5-9 years</t>
  </si>
  <si>
    <t>girl</t>
  </si>
  <si>
    <t>local</t>
  </si>
  <si>
    <t>previously_registered</t>
  </si>
  <si>
    <t>no</t>
  </si>
  <si>
    <t>_shool</t>
  </si>
  <si>
    <t>ліцей #1</t>
  </si>
  <si>
    <t>2</t>
  </si>
  <si>
    <t>Save_The_Children</t>
  </si>
  <si>
    <t>fmfa</t>
  </si>
  <si>
    <t>5</t>
  </si>
  <si>
    <t>posmishkacfscpmhpsskh3f</t>
  </si>
  <si>
    <t>False</t>
  </si>
  <si>
    <t>e4f1502f-a685-4dd7-bcb5-caa88deb533d</t>
  </si>
  <si>
    <t>ce8501c6-15e5-4772-aa21-18d18279d07d</t>
  </si>
  <si>
    <t>Мусієнко Тетяна</t>
  </si>
  <si>
    <t>0689260002</t>
  </si>
  <si>
    <t>Мусієнко</t>
  </si>
  <si>
    <t>Ксенія</t>
  </si>
  <si>
    <t>Мусієнко Ксенія</t>
  </si>
  <si>
    <t>0-59 months</t>
  </si>
  <si>
    <t>first_time</t>
  </si>
  <si>
    <t>kinder_garten</t>
  </si>
  <si>
    <t>КЗ ЗДО #8</t>
  </si>
  <si>
    <t>молодша</t>
  </si>
  <si>
    <t>4</t>
  </si>
  <si>
    <t>6720a7d7-4da4-4e71-9afc-a6c3a408da24</t>
  </si>
  <si>
    <t>820753dc-abff-4c45-bc63-b623a3aade2e</t>
  </si>
  <si>
    <t>Вірич Діана</t>
  </si>
  <si>
    <t>0667047246</t>
  </si>
  <si>
    <t>Вірич</t>
  </si>
  <si>
    <t>Емілія</t>
  </si>
  <si>
    <t>Вірич Емілія</t>
  </si>
  <si>
    <t>0,0</t>
  </si>
  <si>
    <t>0.0</t>
  </si>
  <si>
    <t>e5b063bd-295e-4843-9478-18ce3c7d4692</t>
  </si>
  <si>
    <t>5bc96c54-6fcc-4672-8ddf-05077ea0bd5f</t>
  </si>
  <si>
    <t>Черкашина Надія</t>
  </si>
  <si>
    <t>0963792019</t>
  </si>
  <si>
    <t>Кульба</t>
  </si>
  <si>
    <t>Олександр</t>
  </si>
  <si>
    <t>Кульба Олександр</t>
  </si>
  <si>
    <t>boy</t>
  </si>
  <si>
    <t>ЗДО #8</t>
  </si>
  <si>
    <t>молодша група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</si>
</sst>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6699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left"/>
    </xf>
    <xf numFmtId="0" fontId="1" fillId="5" borderId="2" xfId="0" applyFont="1" applyFill="1" applyBorder="1" applyAlignment="1">
      <alignment horizontal="left"/>
    </xf>
    <xf numFmtId="0" fontId="1" fillId="6" borderId="2" xfId="0" applyFont="1" applyFill="1" applyBorder="1" applyAlignment="1">
      <alignment horizontal="left"/>
    </xf>
    <xf numFmtId="0" fontId="1" fillId="7" borderId="2" xfId="0" applyFont="1" applyFill="1" applyBorder="1" applyAlignment="1">
      <alignment horizontal="left"/>
    </xf>
    <xf numFmtId="0" fontId="1" fillId="8" borderId="2" xfId="0" applyFont="1" applyFill="1" applyBorder="1" applyAlignment="1">
      <alignment horizontal="left"/>
    </xf>
    <xf numFmtId="0" fontId="1" fillId="9" borderId="2" xfId="0" applyFont="1" applyFill="1" applyBorder="1" applyAlignment="1">
      <alignment horizontal="left"/>
    </xf>
    <xf numFmtId="0" fontId="1" fillId="10" borderId="2" xfId="0" applyFont="1" applyFill="1" applyBorder="1" applyAlignment="1">
      <alignment horizontal="left"/>
    </xf>
    <xf numFmtId="0" fontId="1" fillId="11" borderId="2" xfId="0" applyFont="1" applyFill="1" applyBorder="1" applyAlignment="1">
      <alignment horizontal="left"/>
    </xf>
    <xf numFmtId="0" fontId="1" fillId="12" borderId="2" xfId="0" applyFont="1" applyFill="1" applyBorder="1" applyAlignment="1">
      <alignment horizontal="left"/>
    </xf>
    <xf numFmtId="0" fontId="1" fillId="13" borderId="2" xfId="0" applyFont="1" applyFill="1" applyBorder="1" applyAlignment="1">
      <alignment horizontal="left"/>
    </xf>
    <xf numFmtId="0" fontId="1" fillId="14" borderId="2" xfId="0" applyFont="1" applyFill="1" applyBorder="1" applyAlignment="1">
      <alignment horizontal="left"/>
    </xf>
    <xf numFmtId="0" fontId="1" fillId="15" borderId="2" xfId="0" applyFont="1" applyFill="1" applyBorder="1" applyAlignment="1">
      <alignment horizontal="left"/>
    </xf>
    <xf numFmtId="0" fontId="1" fillId="16" borderId="2" xfId="0" applyFont="1" applyFill="1" applyBorder="1" applyAlignment="1">
      <alignment horizontal="left"/>
    </xf>
    <xf numFmtId="0" fontId="1" fillId="17" borderId="2" xfId="0" applyFont="1" applyFill="1" applyBorder="1" applyAlignment="1">
      <alignment horizontal="left"/>
    </xf>
    <xf numFmtId="14" fontId="1" fillId="6" borderId="2" xfId="0" applyNumberFormat="1" applyFont="1" applyFill="1" applyBorder="1" applyAlignment="1">
      <alignment horizontal="left"/>
    </xf>
    <xf numFmtId="0" fontId="1" fillId="18" borderId="2" xfId="0" applyFont="1" applyFill="1" applyBorder="1" applyAlignment="1">
      <alignment horizontal="left"/>
    </xf>
    <xf numFmtId="0" fontId="1" fillId="19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0" fillId="0" borderId="1" xfId="0" applyBorder="1"/>
    <xf numFmtId="0" fontId="0" fillId="0" borderId="2" xfId="0" applyBorder="1"/>
    <xf numFmtId="14" fontId="0" fillId="0" borderId="2" xfId="0" applyNumberFormat="1" applyBorder="1" applyAlignment="1">
      <alignment horizontal="center"/>
    </xf>
    <xf numFmtId="14" fontId="0" fillId="0" borderId="2" xfId="0" applyNumberFormat="1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22" fontId="0" fillId="0" borderId="2" xfId="0" applyNumberFormat="1" applyBorder="1"/>
    <xf numFmtId="0" fontId="0" fillId="0" borderId="3" xfId="0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ave%20the%20Children\01%20FMFA\Posmishka\%25%20of%20children%20who%20demonstrate%20improved%20mental%20health%20andor%20psychosocial%20wellbeing%20(MHPSS)\py%20test\PosmishkaUA%20East%20FMFA%20Full%20Data%20&#1057;ommCare%20CP-MHPSS%20v.2.11.xlsx" TargetMode="External"/><Relationship Id="rId1" Type="http://schemas.openxmlformats.org/officeDocument/2006/relationships/externalLinkPath" Target="PosmishkaUA%20East%20FMFA%20Full%20Data%20&#1057;ommCare%20CP-MHPSS%20v.2.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ocation Info"/>
      <sheetName val="Registration Info"/>
      <sheetName val="Child Info"/>
      <sheetName val="Filtered"/>
      <sheetName val="test Filtered"/>
      <sheetName val="Attendance List"/>
      <sheetName val="Adult Info"/>
      <sheetName val="Adult Attendence List"/>
      <sheetName val="Facilitator Info"/>
      <sheetName val="loc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5"/>
  <sheetViews>
    <sheetView tabSelected="1" topLeftCell="R1" workbookViewId="0">
      <selection activeCell="W4" sqref="W4"/>
    </sheetView>
  </sheetViews>
  <sheetFormatPr defaultRowHeight="15" x14ac:dyDescent="0.25"/>
  <cols>
    <col min="16" max="16" width="11.5703125" customWidth="1"/>
    <col min="36" max="36" width="13" customWidth="1"/>
    <col min="37" max="37" width="13.5703125" customWidth="1"/>
  </cols>
  <sheetData>
    <row r="1" spans="1:71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6" t="s">
        <v>19</v>
      </c>
      <c r="U1" s="5" t="s">
        <v>20</v>
      </c>
      <c r="V1" s="5" t="s">
        <v>21</v>
      </c>
      <c r="W1" s="7" t="s">
        <v>22</v>
      </c>
      <c r="X1" s="5" t="s">
        <v>23</v>
      </c>
      <c r="Y1" s="5" t="s">
        <v>24</v>
      </c>
      <c r="Z1" s="5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9" t="s">
        <v>31</v>
      </c>
      <c r="AG1" s="10" t="s">
        <v>32</v>
      </c>
      <c r="AH1" s="11" t="s">
        <v>33</v>
      </c>
      <c r="AI1" s="12" t="s">
        <v>34</v>
      </c>
      <c r="AJ1" s="12" t="s">
        <v>35</v>
      </c>
      <c r="AK1" s="12" t="s">
        <v>36</v>
      </c>
      <c r="AL1" s="13" t="s">
        <v>37</v>
      </c>
      <c r="AM1" s="13" t="s">
        <v>38</v>
      </c>
      <c r="AN1" s="13" t="s">
        <v>39</v>
      </c>
      <c r="AO1" s="14" t="s">
        <v>40</v>
      </c>
      <c r="AP1" s="14" t="s">
        <v>41</v>
      </c>
      <c r="AQ1" s="14" t="s">
        <v>42</v>
      </c>
      <c r="AR1" s="15" t="s">
        <v>43</v>
      </c>
      <c r="AS1" s="15" t="s">
        <v>44</v>
      </c>
      <c r="AT1" s="15" t="s">
        <v>45</v>
      </c>
      <c r="AU1" s="16" t="s">
        <v>46</v>
      </c>
      <c r="AV1" s="16" t="s">
        <v>47</v>
      </c>
      <c r="AW1" s="16" t="s">
        <v>48</v>
      </c>
      <c r="AX1" s="17" t="s">
        <v>49</v>
      </c>
      <c r="AY1" s="8" t="s">
        <v>50</v>
      </c>
      <c r="AZ1" s="6" t="s">
        <v>51</v>
      </c>
      <c r="BA1" s="6" t="s">
        <v>52</v>
      </c>
      <c r="BB1" s="18" t="s">
        <v>53</v>
      </c>
      <c r="BC1" s="5" t="s">
        <v>54</v>
      </c>
      <c r="BD1" s="19" t="s">
        <v>55</v>
      </c>
      <c r="BE1" s="20" t="s">
        <v>56</v>
      </c>
      <c r="BF1" s="20" t="s">
        <v>57</v>
      </c>
      <c r="BG1" s="20" t="s">
        <v>58</v>
      </c>
      <c r="BH1" s="20" t="s">
        <v>59</v>
      </c>
      <c r="BI1" s="20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3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1" t="s">
        <v>70</v>
      </c>
    </row>
    <row r="2" spans="1:71" x14ac:dyDescent="0.25">
      <c r="A2" s="22" t="s">
        <v>71</v>
      </c>
      <c r="B2" s="23" t="s">
        <v>72</v>
      </c>
      <c r="C2" s="23" t="s">
        <v>73</v>
      </c>
      <c r="D2" s="23" t="s">
        <v>74</v>
      </c>
      <c r="E2" s="23" t="s">
        <v>75</v>
      </c>
      <c r="F2" s="23" t="s">
        <v>76</v>
      </c>
      <c r="G2" s="23" t="s">
        <v>77</v>
      </c>
      <c r="H2" s="23" t="s">
        <v>78</v>
      </c>
      <c r="I2" s="23" t="s">
        <v>79</v>
      </c>
      <c r="J2" s="24">
        <v>45801</v>
      </c>
      <c r="K2" s="23" t="s">
        <v>80</v>
      </c>
      <c r="L2" s="23" t="s">
        <v>81</v>
      </c>
      <c r="M2" s="23" t="s">
        <v>82</v>
      </c>
      <c r="N2" s="23" t="s">
        <v>83</v>
      </c>
      <c r="O2" s="23" t="s">
        <v>84</v>
      </c>
      <c r="P2" s="25">
        <v>42706</v>
      </c>
      <c r="Q2" s="23">
        <v>9</v>
      </c>
      <c r="R2" s="23" t="s">
        <v>85</v>
      </c>
      <c r="S2" s="23">
        <v>8</v>
      </c>
      <c r="T2" s="23" t="s">
        <v>85</v>
      </c>
      <c r="U2" s="23" t="s">
        <v>86</v>
      </c>
      <c r="V2" s="23" t="s">
        <v>87</v>
      </c>
      <c r="W2" s="23" t="s">
        <v>88</v>
      </c>
      <c r="X2" s="23" t="s">
        <v>89</v>
      </c>
      <c r="Y2" s="23" t="s">
        <v>89</v>
      </c>
      <c r="Z2" s="23"/>
      <c r="AA2" s="23" t="s">
        <v>90</v>
      </c>
      <c r="AB2" s="23" t="s">
        <v>91</v>
      </c>
      <c r="AC2" s="23" t="s">
        <v>92</v>
      </c>
      <c r="AD2" s="23"/>
      <c r="AE2" s="23"/>
      <c r="AF2" s="23" t="s">
        <v>93</v>
      </c>
      <c r="AG2" s="23" t="s">
        <v>94</v>
      </c>
      <c r="AH2" s="27" t="str" cm="1">
        <f t="array" ref="AH2">IFERROR(_xlfn.TEXTJOIN(", ", TRUE, _xlfn.UNIQUE(_xlfn._xlws.FILTER([1]!attendance_list[Group number], [1]!attendance_list[Child ID]=[1]!child_info[[#This Row],[Child ID]]))), "no match")</f>
        <v>5-8 років</v>
      </c>
      <c r="AI2" s="26">
        <f>SUMIFS([1]!attendance_list[Count],[1]!attendance_list[Child ID],[1]!child_info[[#This Row],[Child ID]])</f>
        <v>9</v>
      </c>
      <c r="AJ2" s="24">
        <f>IFERROR(1/(1/_xlfn.MAXIFS([1]!attendance_list[Date of attendence],[1]!attendance_list[Child ID],[1]!child_info[[#This Row],[Child ID]],[1]!attendance_list[Count Visits],1)),"---")</f>
        <v>45806</v>
      </c>
      <c r="AK2" s="24">
        <f>IFERROR(1/(1/_xlfn.MAXIFS([1]!attendance_list[Date of attendence],[1]!attendance_list[Child ID],[1]!child_info[[#This Row],[Child ID]],[1]!attendance_list[Count Visits],2)),"---")</f>
        <v>45807</v>
      </c>
      <c r="AL2" s="26">
        <f>SUMIFS([1]!attendance_list[Count],[1]!attendance_list[Child ID],[1]!child_info[[#This Row],[Child ID]],[1]!attendance_list[Program],[1]!child_info[[#Headers],[TEAM_UP]])</f>
        <v>0</v>
      </c>
      <c r="AM2" s="26" t="str">
        <f>IF([1]!child_info[[#This Row],[TEAM_UP]]&gt;=12,"yes","no")</f>
        <v>no</v>
      </c>
      <c r="AN2" s="24" t="str">
        <f>IFERROR(1/(1/_xlfn.MAXIFS([1]!attendance_list[Date of attendence],[1]!attendance_list[Child ID],[1]!child_info[[#This Row],[Child ID]],[1]!attendance_list[Program],"TEAM_UP",[1]!attendance_list[Count2],12)),"---")</f>
        <v>---</v>
      </c>
      <c r="AO2" s="26">
        <f>SUMIFS([1]!attendance_list[Count],[1]!attendance_list[Child ID],[1]!child_info[[#This Row],[Child ID]],[1]!attendance_list[Program],[1]!child_info[[#Headers],[HEART]])</f>
        <v>0</v>
      </c>
      <c r="AP2" s="26" t="str">
        <f>IF([1]!child_info[[#This Row],[HEART]]&gt;=10,"yes","no")</f>
        <v>no</v>
      </c>
      <c r="AQ2" s="24" t="str">
        <f>IFERROR(1/(1/_xlfn.MAXIFS([1]!attendance_list[Date of attendence],[1]!attendance_list[Child ID],[1]!child_info[[#This Row],[Child ID]],[1]!attendance_list[Program],"HEART",[1]!attendance_list[Count2],10)),"---")</f>
        <v>---</v>
      </c>
      <c r="AR2" s="26">
        <f>SUMIFS([1]!attendance_list[Count],[1]!attendance_list[Child ID],[1]!child_info[[#This Row],[Child ID]],[1]!attendance_list[Program],[1]!child_info[[#Headers],[CYR]])</f>
        <v>0</v>
      </c>
      <c r="AS2" s="26" t="str">
        <f>IF([1]!child_info[[#This Row],[CYR]]&gt;=10,"yes","no")</f>
        <v>no</v>
      </c>
      <c r="AT2" s="24" t="str">
        <f>IFERROR(1/(1/_xlfn.MAXIFS([1]!attendance_list[Date of attendence],[1]!attendance_list[Child ID],[1]!child_info[[#This Row],[Child ID]],[1]!attendance_list[Program],"CYR",[1]!attendance_list[Count2],10)),"---")</f>
        <v>---</v>
      </c>
      <c r="AU2" s="26">
        <f>SUMIFS([1]!attendance_list[Count],[1]!attendance_list[Child ID],[1]!child_info[[#This Row],[Child ID]],[1]!attendance_list[Program],[1]!child_info[[#Headers],[ISMF]])</f>
        <v>0</v>
      </c>
      <c r="AV2" s="26" t="str">
        <f>IF([1]!child_info[[#This Row],[ISMF]]&gt;=10,"yes","no")</f>
        <v>no</v>
      </c>
      <c r="AW2" s="24" t="str">
        <f>IFERROR(1/(1/_xlfn.MAXIFS([1]!attendance_list[Date of attendence],[1]!attendance_list[Child ID],[1]!child_info[[#This Row],[Child ID]],[1]!attendance_list[Program],"ISMF",[1]!attendance_list[Count2],10)),"---")</f>
        <v>---</v>
      </c>
      <c r="AX2" s="26">
        <f>SUMIFS([1]!attendance_list[Count],[1]!attendance_list[Child ID],[1]!child_info[[#This Row],[Child ID]],[1]!attendance_list[Program],"safe_families")</f>
        <v>0</v>
      </c>
      <c r="AY2" s="26">
        <f>SUMIFS([1]!attendance_list[Count],[1]!attendance_list[Child ID],[1]!child_info[[#This Row],[Child ID]],[1]!attendance_list[Program],"JSWP")</f>
        <v>0</v>
      </c>
      <c r="AZ2" s="26">
        <f>SUM([1]!child_info[[#This Row],[SF (Safe Families)]:[JSWP (Joint session with parents)]])</f>
        <v>0</v>
      </c>
      <c r="BA2" s="26" t="str">
        <f>IF([1]!child_info[[#This Row],[SF + JSWP]]&gt;=5,"yes","no")</f>
        <v>no</v>
      </c>
      <c r="BB2" s="24" t="str">
        <f>IFERROR(1/(1/_xlfn.MAXIFS([1]!attendance_list[Date of attendence],[1]!attendance_list[Child ID],[1]!child_info[[#This Row],[Child ID]],[1]!attendance_list[Count SF+JSPW],5)),"---")</f>
        <v>---</v>
      </c>
      <c r="BC2" s="28">
        <f>SUMIFS([1]!attendance_list[Count],[1]!attendance_list[Child ID],[1]!child_info[[#This Row],[Child ID]],[1]!attendance_list[Program],"recreational_activity")</f>
        <v>9</v>
      </c>
      <c r="BD2" s="26">
        <f>SUMIFS([1]!attendance_list[Count],[1]!attendance_list[Child ID],[1]!child_info[[#This Row],[Child ID]],[1]!attendance_list[Program],"informal_education_activity")</f>
        <v>0</v>
      </c>
      <c r="BE2" s="26">
        <f>SUMIFS([1]!attendance_list[Count],[1]!attendance_list[Child ID],[1]!child_info[[#This Row],[Child ID]],[1]!attendance_list[Program],[1]!child_info[[#Headers],[SEL]])</f>
        <v>0</v>
      </c>
      <c r="BF2" s="26">
        <f>SUMIFS([1]!attendance_list[Count],[1]!attendance_list[Child ID],[1]!child_info[[#This Row],[Child ID]],[1]!attendance_list[Program],[1]!child_info[[#Headers],[SOCR]])</f>
        <v>0</v>
      </c>
      <c r="BG2" s="26">
        <f>SUMIFS([1]!attendance_list[Count],[1]!attendance_list[Child ID],[1]!child_info[[#This Row],[Child ID]],[1]!attendance_list[Program],[1]!child_info[[#Headers],[EORE]])</f>
        <v>0</v>
      </c>
      <c r="BH2" s="26">
        <f>SUMIFS([1]!attendance_list[Count],[1]!attendance_list[Child ID],[1]!child_info[[#This Row],[Child ID]],[1]!attendance_list[Program],[1]!child_info[[#Headers],[GBV]])</f>
        <v>0</v>
      </c>
      <c r="BI2" s="26">
        <f>SUMIFS([1]!attendance_list[Count],[1]!attendance_list[Child ID],[1]!child_info[[#This Row],[Child ID]],[1]!attendance_list[Program],[1]!child_info[[#Headers],[LA]])</f>
        <v>0</v>
      </c>
      <c r="BJ2" s="23" t="s">
        <v>95</v>
      </c>
      <c r="BK2" s="23" t="s">
        <v>95</v>
      </c>
      <c r="BL2" s="23" t="s">
        <v>95</v>
      </c>
      <c r="BM2" s="23" t="s">
        <v>95</v>
      </c>
      <c r="BN2" s="23" t="s">
        <v>95</v>
      </c>
      <c r="BO2" s="23" t="s">
        <v>96</v>
      </c>
      <c r="BP2" s="29">
        <v>45861.557986111111</v>
      </c>
      <c r="BQ2" s="29">
        <v>46057.597650462965</v>
      </c>
      <c r="BR2" s="23" t="s">
        <v>97</v>
      </c>
      <c r="BS2" s="30" t="str">
        <f>_xlfn.CONCAT([1]!child_info[[#This Row],[Сhild Full Name]],[1]!child_info[[#This Row],[Date of birth]])</f>
        <v>Бондаренко Єкатерина42706</v>
      </c>
    </row>
    <row r="3" spans="1:71" x14ac:dyDescent="0.25">
      <c r="A3" s="22" t="s">
        <v>98</v>
      </c>
      <c r="B3" s="23" t="s">
        <v>72</v>
      </c>
      <c r="C3" s="23" t="s">
        <v>99</v>
      </c>
      <c r="D3" s="23" t="s">
        <v>74</v>
      </c>
      <c r="E3" s="23" t="s">
        <v>75</v>
      </c>
      <c r="F3" s="23" t="s">
        <v>76</v>
      </c>
      <c r="G3" s="23" t="s">
        <v>77</v>
      </c>
      <c r="H3" s="23" t="s">
        <v>78</v>
      </c>
      <c r="I3" s="23" t="s">
        <v>79</v>
      </c>
      <c r="J3" s="24">
        <v>45800</v>
      </c>
      <c r="K3" s="23" t="s">
        <v>100</v>
      </c>
      <c r="L3" s="23" t="s">
        <v>101</v>
      </c>
      <c r="M3" s="23" t="s">
        <v>102</v>
      </c>
      <c r="N3" s="23" t="s">
        <v>103</v>
      </c>
      <c r="O3" s="23" t="s">
        <v>104</v>
      </c>
      <c r="P3" s="25">
        <v>44466</v>
      </c>
      <c r="Q3" s="23">
        <v>4</v>
      </c>
      <c r="R3" s="23" t="s">
        <v>105</v>
      </c>
      <c r="S3" s="23">
        <v>3</v>
      </c>
      <c r="T3" s="23" t="s">
        <v>105</v>
      </c>
      <c r="U3" s="23" t="s">
        <v>86</v>
      </c>
      <c r="V3" s="23" t="s">
        <v>87</v>
      </c>
      <c r="W3" s="23" t="s">
        <v>106</v>
      </c>
      <c r="X3" s="23" t="s">
        <v>89</v>
      </c>
      <c r="Y3" s="23" t="s">
        <v>89</v>
      </c>
      <c r="Z3" s="23"/>
      <c r="AA3" s="23" t="s">
        <v>107</v>
      </c>
      <c r="AB3" s="23" t="s">
        <v>108</v>
      </c>
      <c r="AC3" s="23"/>
      <c r="AD3" s="23" t="s">
        <v>109</v>
      </c>
      <c r="AE3" s="23"/>
      <c r="AF3" s="23" t="s">
        <v>93</v>
      </c>
      <c r="AG3" s="23" t="s">
        <v>94</v>
      </c>
      <c r="AH3" s="27" t="str" cm="1">
        <f t="array" ref="AH3">IFERROR(_xlfn.TEXTJOIN(", ", TRUE, _xlfn.UNIQUE(_xlfn._xlws.FILTER([1]!attendance_list[Group number], [1]!attendance_list[Child ID]=[1]!child_info[[#This Row],[Child ID]]))), "no match")</f>
        <v>3-4 роки, 3-4 років</v>
      </c>
      <c r="AI3" s="26">
        <f>SUMIFS([1]!attendance_list[Count],[1]!attendance_list[Child ID],[1]!child_info[[#This Row],[Child ID]])</f>
        <v>7</v>
      </c>
      <c r="AJ3" s="24">
        <f>IFERROR(1/(1/_xlfn.MAXIFS([1]!attendance_list[Date of attendence],[1]!attendance_list[Child ID],[1]!child_info[[#This Row],[Child ID]],[1]!attendance_list[Count Visits],1)),"---")</f>
        <v>45800</v>
      </c>
      <c r="AK3" s="24">
        <f>IFERROR(1/(1/_xlfn.MAXIFS([1]!attendance_list[Date of attendence],[1]!attendance_list[Child ID],[1]!child_info[[#This Row],[Child ID]],[1]!attendance_list[Count Visits],2)),"---")</f>
        <v>45803</v>
      </c>
      <c r="AL3" s="26">
        <f>SUMIFS([1]!attendance_list[Count],[1]!attendance_list[Child ID],[1]!child_info[[#This Row],[Child ID]],[1]!attendance_list[Program],[1]!child_info[[#Headers],[TEAM_UP]])</f>
        <v>0</v>
      </c>
      <c r="AM3" s="26" t="str">
        <f>IF([1]!child_info[[#This Row],[TEAM_UP]]&gt;=12,"yes","no")</f>
        <v>no</v>
      </c>
      <c r="AN3" s="24" t="str">
        <f>IFERROR(1/(1/_xlfn.MAXIFS([1]!attendance_list[Date of attendence],[1]!attendance_list[Child ID],[1]!child_info[[#This Row],[Child ID]],[1]!attendance_list[Program],"TEAM_UP",[1]!attendance_list[Count2],12)),"---")</f>
        <v>---</v>
      </c>
      <c r="AO3" s="26">
        <f>SUMIFS([1]!attendance_list[Count],[1]!attendance_list[Child ID],[1]!child_info[[#This Row],[Child ID]],[1]!attendance_list[Program],[1]!child_info[[#Headers],[HEART]])</f>
        <v>0</v>
      </c>
      <c r="AP3" s="26" t="str">
        <f>IF([1]!child_info[[#This Row],[HEART]]&gt;=10,"yes","no")</f>
        <v>no</v>
      </c>
      <c r="AQ3" s="24" t="str">
        <f>IFERROR(1/(1/_xlfn.MAXIFS([1]!attendance_list[Date of attendence],[1]!attendance_list[Child ID],[1]!child_info[[#This Row],[Child ID]],[1]!attendance_list[Program],"HEART",[1]!attendance_list[Count2],10)),"---")</f>
        <v>---</v>
      </c>
      <c r="AR3" s="26">
        <f>SUMIFS([1]!attendance_list[Count],[1]!attendance_list[Child ID],[1]!child_info[[#This Row],[Child ID]],[1]!attendance_list[Program],[1]!child_info[[#Headers],[CYR]])</f>
        <v>0</v>
      </c>
      <c r="AS3" s="26" t="str">
        <f>IF([1]!child_info[[#This Row],[CYR]]&gt;=10,"yes","no")</f>
        <v>no</v>
      </c>
      <c r="AT3" s="24" t="str">
        <f>IFERROR(1/(1/_xlfn.MAXIFS([1]!attendance_list[Date of attendence],[1]!attendance_list[Child ID],[1]!child_info[[#This Row],[Child ID]],[1]!attendance_list[Program],"CYR",[1]!attendance_list[Count2],10)),"---")</f>
        <v>---</v>
      </c>
      <c r="AU3" s="26">
        <f>SUMIFS([1]!attendance_list[Count],[1]!attendance_list[Child ID],[1]!child_info[[#This Row],[Child ID]],[1]!attendance_list[Program],[1]!child_info[[#Headers],[ISMF]])</f>
        <v>0</v>
      </c>
      <c r="AV3" s="26" t="str">
        <f>IF([1]!child_info[[#This Row],[ISMF]]&gt;=10,"yes","no")</f>
        <v>no</v>
      </c>
      <c r="AW3" s="24" t="str">
        <f>IFERROR(1/(1/_xlfn.MAXIFS([1]!attendance_list[Date of attendence],[1]!attendance_list[Child ID],[1]!child_info[[#This Row],[Child ID]],[1]!attendance_list[Program],"ISMF",[1]!attendance_list[Count2],10)),"---")</f>
        <v>---</v>
      </c>
      <c r="AX3" s="26">
        <f>SUMIFS([1]!attendance_list[Count],[1]!attendance_list[Child ID],[1]!child_info[[#This Row],[Child ID]],[1]!attendance_list[Program],"safe_families")</f>
        <v>0</v>
      </c>
      <c r="AY3" s="26">
        <f>SUMIFS([1]!attendance_list[Count],[1]!attendance_list[Child ID],[1]!child_info[[#This Row],[Child ID]],[1]!attendance_list[Program],"JSWP")</f>
        <v>0</v>
      </c>
      <c r="AZ3" s="26">
        <f>SUM([1]!child_info[[#This Row],[SF (Safe Families)]:[JSWP (Joint session with parents)]])</f>
        <v>0</v>
      </c>
      <c r="BA3" s="26" t="str">
        <f>IF([1]!child_info[[#This Row],[SF + JSWP]]&gt;=5,"yes","no")</f>
        <v>no</v>
      </c>
      <c r="BB3" s="24" t="str">
        <f>IFERROR(1/(1/_xlfn.MAXIFS([1]!attendance_list[Date of attendence],[1]!attendance_list[Child ID],[1]!child_info[[#This Row],[Child ID]],[1]!attendance_list[Count SF+JSPW],5)),"---")</f>
        <v>---</v>
      </c>
      <c r="BC3" s="28">
        <f>SUMIFS([1]!attendance_list[Count],[1]!attendance_list[Child ID],[1]!child_info[[#This Row],[Child ID]],[1]!attendance_list[Program],"recreational_activity")</f>
        <v>7</v>
      </c>
      <c r="BD3" s="26">
        <f>SUMIFS([1]!attendance_list[Count],[1]!attendance_list[Child ID],[1]!child_info[[#This Row],[Child ID]],[1]!attendance_list[Program],"informal_education_activity")</f>
        <v>0</v>
      </c>
      <c r="BE3" s="26">
        <f>SUMIFS([1]!attendance_list[Count],[1]!attendance_list[Child ID],[1]!child_info[[#This Row],[Child ID]],[1]!attendance_list[Program],[1]!child_info[[#Headers],[SEL]])</f>
        <v>0</v>
      </c>
      <c r="BF3" s="26">
        <f>SUMIFS([1]!attendance_list[Count],[1]!attendance_list[Child ID],[1]!child_info[[#This Row],[Child ID]],[1]!attendance_list[Program],[1]!child_info[[#Headers],[SOCR]])</f>
        <v>0</v>
      </c>
      <c r="BG3" s="26">
        <f>SUMIFS([1]!attendance_list[Count],[1]!attendance_list[Child ID],[1]!child_info[[#This Row],[Child ID]],[1]!attendance_list[Program],[1]!child_info[[#Headers],[EORE]])</f>
        <v>0</v>
      </c>
      <c r="BH3" s="26">
        <f>SUMIFS([1]!attendance_list[Count],[1]!attendance_list[Child ID],[1]!child_info[[#This Row],[Child ID]],[1]!attendance_list[Program],[1]!child_info[[#Headers],[GBV]])</f>
        <v>0</v>
      </c>
      <c r="BI3" s="26">
        <f>SUMIFS([1]!attendance_list[Count],[1]!attendance_list[Child ID],[1]!child_info[[#This Row],[Child ID]],[1]!attendance_list[Program],[1]!child_info[[#Headers],[LA]])</f>
        <v>0</v>
      </c>
      <c r="BJ3" s="23" t="s">
        <v>110</v>
      </c>
      <c r="BK3" s="23" t="s">
        <v>110</v>
      </c>
      <c r="BL3" s="23" t="s">
        <v>110</v>
      </c>
      <c r="BM3" s="23" t="s">
        <v>110</v>
      </c>
      <c r="BN3" s="23" t="s">
        <v>110</v>
      </c>
      <c r="BO3" s="23" t="s">
        <v>96</v>
      </c>
      <c r="BP3" s="29">
        <v>45861.570162037038</v>
      </c>
      <c r="BQ3" s="29">
        <v>46057.597893518519</v>
      </c>
      <c r="BR3" s="23" t="s">
        <v>97</v>
      </c>
      <c r="BS3" s="30" t="str">
        <f>_xlfn.CONCAT([1]!child_info[[#This Row],[Сhild Full Name]],[1]!child_info[[#This Row],[Date of birth]])</f>
        <v>Мусієнко Ксенія44466</v>
      </c>
    </row>
    <row r="4" spans="1:71" x14ac:dyDescent="0.25">
      <c r="A4" s="22" t="s">
        <v>111</v>
      </c>
      <c r="B4" s="23" t="s">
        <v>72</v>
      </c>
      <c r="C4" s="23" t="s">
        <v>112</v>
      </c>
      <c r="D4" s="23" t="s">
        <v>74</v>
      </c>
      <c r="E4" s="23" t="s">
        <v>75</v>
      </c>
      <c r="F4" s="23" t="s">
        <v>76</v>
      </c>
      <c r="G4" s="23" t="s">
        <v>77</v>
      </c>
      <c r="H4" s="23" t="s">
        <v>78</v>
      </c>
      <c r="I4" s="23" t="s">
        <v>79</v>
      </c>
      <c r="J4" s="24">
        <v>45800</v>
      </c>
      <c r="K4" s="23" t="s">
        <v>113</v>
      </c>
      <c r="L4" s="23" t="s">
        <v>114</v>
      </c>
      <c r="M4" s="23" t="s">
        <v>115</v>
      </c>
      <c r="N4" s="23" t="s">
        <v>116</v>
      </c>
      <c r="O4" s="23" t="s">
        <v>117</v>
      </c>
      <c r="P4" s="25">
        <v>44765</v>
      </c>
      <c r="Q4" s="23">
        <v>3</v>
      </c>
      <c r="R4" s="23" t="s">
        <v>105</v>
      </c>
      <c r="S4" s="23">
        <v>2</v>
      </c>
      <c r="T4" s="23" t="s">
        <v>105</v>
      </c>
      <c r="U4" s="23" t="s">
        <v>86</v>
      </c>
      <c r="V4" s="23" t="s">
        <v>87</v>
      </c>
      <c r="W4" s="23" t="s">
        <v>106</v>
      </c>
      <c r="X4" s="23" t="s">
        <v>89</v>
      </c>
      <c r="Y4" s="23" t="s">
        <v>89</v>
      </c>
      <c r="Z4" s="23"/>
      <c r="AA4" s="23" t="s">
        <v>107</v>
      </c>
      <c r="AB4" s="23"/>
      <c r="AC4" s="23"/>
      <c r="AD4" s="23"/>
      <c r="AE4" s="23"/>
      <c r="AF4" s="23" t="s">
        <v>93</v>
      </c>
      <c r="AG4" s="23" t="s">
        <v>94</v>
      </c>
      <c r="AH4" s="27" t="str" cm="1">
        <f t="array" ref="AH4">IFERROR(_xlfn.TEXTJOIN(", ", TRUE, _xlfn.UNIQUE(_xlfn._xlws.FILTER([1]!attendance_list[Group number], [1]!attendance_list[Child ID]=[1]!child_info[[#This Row],[Child ID]]))), "no match")</f>
        <v>3-4 роки, 3-4 років</v>
      </c>
      <c r="AI4" s="26">
        <f>SUMIFS([1]!attendance_list[Count],[1]!attendance_list[Child ID],[1]!child_info[[#This Row],[Child ID]])</f>
        <v>2</v>
      </c>
      <c r="AJ4" s="24">
        <f>IFERROR(1/(1/_xlfn.MAXIFS([1]!attendance_list[Date of attendence],[1]!attendance_list[Child ID],[1]!child_info[[#This Row],[Child ID]],[1]!attendance_list[Count Visits],1)),"---")</f>
        <v>45800</v>
      </c>
      <c r="AK4" s="24">
        <f>IFERROR(1/(1/_xlfn.MAXIFS([1]!attendance_list[Date of attendence],[1]!attendance_list[Child ID],[1]!child_info[[#This Row],[Child ID]],[1]!attendance_list[Count Visits],2)),"---")</f>
        <v>45803</v>
      </c>
      <c r="AL4" s="26">
        <f>SUMIFS([1]!attendance_list[Count],[1]!attendance_list[Child ID],[1]!child_info[[#This Row],[Child ID]],[1]!attendance_list[Program],[1]!child_info[[#Headers],[TEAM_UP]])</f>
        <v>0</v>
      </c>
      <c r="AM4" s="26" t="str">
        <f>IF([1]!child_info[[#This Row],[TEAM_UP]]&gt;=12,"yes","no")</f>
        <v>no</v>
      </c>
      <c r="AN4" s="24" t="str">
        <f>IFERROR(1/(1/_xlfn.MAXIFS([1]!attendance_list[Date of attendence],[1]!attendance_list[Child ID],[1]!child_info[[#This Row],[Child ID]],[1]!attendance_list[Program],"TEAM_UP",[1]!attendance_list[Count2],12)),"---")</f>
        <v>---</v>
      </c>
      <c r="AO4" s="26">
        <f>SUMIFS([1]!attendance_list[Count],[1]!attendance_list[Child ID],[1]!child_info[[#This Row],[Child ID]],[1]!attendance_list[Program],[1]!child_info[[#Headers],[HEART]])</f>
        <v>0</v>
      </c>
      <c r="AP4" s="26" t="str">
        <f>IF([1]!child_info[[#This Row],[HEART]]&gt;=10,"yes","no")</f>
        <v>no</v>
      </c>
      <c r="AQ4" s="24" t="str">
        <f>IFERROR(1/(1/_xlfn.MAXIFS([1]!attendance_list[Date of attendence],[1]!attendance_list[Child ID],[1]!child_info[[#This Row],[Child ID]],[1]!attendance_list[Program],"HEART",[1]!attendance_list[Count2],10)),"---")</f>
        <v>---</v>
      </c>
      <c r="AR4" s="26">
        <f>SUMIFS([1]!attendance_list[Count],[1]!attendance_list[Child ID],[1]!child_info[[#This Row],[Child ID]],[1]!attendance_list[Program],[1]!child_info[[#Headers],[CYR]])</f>
        <v>0</v>
      </c>
      <c r="AS4" s="26" t="str">
        <f>IF([1]!child_info[[#This Row],[CYR]]&gt;=10,"yes","no")</f>
        <v>no</v>
      </c>
      <c r="AT4" s="24" t="str">
        <f>IFERROR(1/(1/_xlfn.MAXIFS([1]!attendance_list[Date of attendence],[1]!attendance_list[Child ID],[1]!child_info[[#This Row],[Child ID]],[1]!attendance_list[Program],"CYR",[1]!attendance_list[Count2],10)),"---")</f>
        <v>---</v>
      </c>
      <c r="AU4" s="26">
        <f>SUMIFS([1]!attendance_list[Count],[1]!attendance_list[Child ID],[1]!child_info[[#This Row],[Child ID]],[1]!attendance_list[Program],[1]!child_info[[#Headers],[ISMF]])</f>
        <v>0</v>
      </c>
      <c r="AV4" s="26" t="str">
        <f>IF([1]!child_info[[#This Row],[ISMF]]&gt;=10,"yes","no")</f>
        <v>no</v>
      </c>
      <c r="AW4" s="24" t="str">
        <f>IFERROR(1/(1/_xlfn.MAXIFS([1]!attendance_list[Date of attendence],[1]!attendance_list[Child ID],[1]!child_info[[#This Row],[Child ID]],[1]!attendance_list[Program],"ISMF",[1]!attendance_list[Count2],10)),"---")</f>
        <v>---</v>
      </c>
      <c r="AX4" s="26">
        <f>SUMIFS([1]!attendance_list[Count],[1]!attendance_list[Child ID],[1]!child_info[[#This Row],[Child ID]],[1]!attendance_list[Program],"safe_families")</f>
        <v>0</v>
      </c>
      <c r="AY4" s="26">
        <f>SUMIFS([1]!attendance_list[Count],[1]!attendance_list[Child ID],[1]!child_info[[#This Row],[Child ID]],[1]!attendance_list[Program],"JSWP")</f>
        <v>0</v>
      </c>
      <c r="AZ4" s="26">
        <f>SUM([1]!child_info[[#This Row],[SF (Safe Families)]:[JSWP (Joint session with parents)]])</f>
        <v>0</v>
      </c>
      <c r="BA4" s="26" t="str">
        <f ca="1">IF([1]!child_info[[#This Row],[SF + JSWP]]&gt;=5,"yes","no")</f>
        <v>no</v>
      </c>
      <c r="BB4" s="24" t="str">
        <f>IFERROR(1/(1/_xlfn.MAXIFS([1]!attendance_list[Date of attendence],[1]!attendance_list[Child ID],[1]!child_info[[#This Row],[Child ID]],[1]!attendance_list[Count SF+JSPW],5)),"---")</f>
        <v>---</v>
      </c>
      <c r="BC4" s="28">
        <f>SUMIFS([1]!attendance_list[Count],[1]!attendance_list[Child ID],[1]!child_info[[#This Row],[Child ID]],[1]!attendance_list[Program],"recreational_activity")</f>
        <v>2</v>
      </c>
      <c r="BD4" s="26">
        <f>SUMIFS([1]!attendance_list[Count],[1]!attendance_list[Child ID],[1]!child_info[[#This Row],[Child ID]],[1]!attendance_list[Program],"informal_education_activity")</f>
        <v>0</v>
      </c>
      <c r="BE4" s="26">
        <f>SUMIFS([1]!attendance_list[Count],[1]!attendance_list[Child ID],[1]!child_info[[#This Row],[Child ID]],[1]!attendance_list[Program],[1]!child_info[[#Headers],[SEL]])</f>
        <v>0</v>
      </c>
      <c r="BF4" s="26">
        <f>SUMIFS([1]!attendance_list[Count],[1]!attendance_list[Child ID],[1]!child_info[[#This Row],[Child ID]],[1]!attendance_list[Program],[1]!child_info[[#Headers],[SOCR]])</f>
        <v>0</v>
      </c>
      <c r="BG4" s="26">
        <f>SUMIFS([1]!attendance_list[Count],[1]!attendance_list[Child ID],[1]!child_info[[#This Row],[Child ID]],[1]!attendance_list[Program],[1]!child_info[[#Headers],[EORE]])</f>
        <v>0</v>
      </c>
      <c r="BH4" s="26">
        <f>SUMIFS([1]!attendance_list[Count],[1]!attendance_list[Child ID],[1]!child_info[[#This Row],[Child ID]],[1]!attendance_list[Program],[1]!child_info[[#Headers],[GBV]])</f>
        <v>0</v>
      </c>
      <c r="BI4" s="26">
        <f>SUMIFS([1]!attendance_list[Count],[1]!attendance_list[Child ID],[1]!child_info[[#This Row],[Child ID]],[1]!attendance_list[Program],[1]!child_info[[#Headers],[LA]])</f>
        <v>0</v>
      </c>
      <c r="BJ4" s="23" t="s">
        <v>118</v>
      </c>
      <c r="BK4" s="23" t="s">
        <v>119</v>
      </c>
      <c r="BL4" s="23" t="s">
        <v>119</v>
      </c>
      <c r="BM4" s="23" t="s">
        <v>119</v>
      </c>
      <c r="BN4" s="23" t="s">
        <v>119</v>
      </c>
      <c r="BO4" s="23" t="s">
        <v>96</v>
      </c>
      <c r="BP4" s="29">
        <v>45861.57298611111</v>
      </c>
      <c r="BQ4" s="29">
        <v>46057.597708333335</v>
      </c>
      <c r="BR4" s="23" t="s">
        <v>97</v>
      </c>
      <c r="BS4" s="30" t="str">
        <f>_xlfn.CONCAT([1]!child_info[[#This Row],[Сhild Full Name]],[1]!child_info[[#This Row],[Date of birth]])</f>
        <v>Вірич Емілія44765</v>
      </c>
    </row>
    <row r="5" spans="1:71" x14ac:dyDescent="0.25">
      <c r="A5" s="22" t="s">
        <v>120</v>
      </c>
      <c r="B5" s="23" t="s">
        <v>72</v>
      </c>
      <c r="C5" s="23" t="s">
        <v>121</v>
      </c>
      <c r="D5" s="23" t="s">
        <v>74</v>
      </c>
      <c r="E5" s="23" t="s">
        <v>75</v>
      </c>
      <c r="F5" s="23" t="s">
        <v>76</v>
      </c>
      <c r="G5" s="23" t="s">
        <v>77</v>
      </c>
      <c r="H5" s="23" t="s">
        <v>78</v>
      </c>
      <c r="I5" s="23" t="s">
        <v>79</v>
      </c>
      <c r="J5" s="24">
        <v>45800</v>
      </c>
      <c r="K5" s="23" t="s">
        <v>122</v>
      </c>
      <c r="L5" s="23" t="s">
        <v>123</v>
      </c>
      <c r="M5" s="23" t="s">
        <v>124</v>
      </c>
      <c r="N5" s="23" t="s">
        <v>125</v>
      </c>
      <c r="O5" s="23" t="s">
        <v>126</v>
      </c>
      <c r="P5" s="25">
        <v>44686</v>
      </c>
      <c r="Q5" s="23">
        <v>3</v>
      </c>
      <c r="R5" s="23" t="s">
        <v>105</v>
      </c>
      <c r="S5" s="23">
        <v>3</v>
      </c>
      <c r="T5" s="23" t="s">
        <v>105</v>
      </c>
      <c r="U5" s="23" t="s">
        <v>127</v>
      </c>
      <c r="V5" s="23" t="s">
        <v>87</v>
      </c>
      <c r="W5" s="23" t="s">
        <v>88</v>
      </c>
      <c r="X5" s="23" t="s">
        <v>89</v>
      </c>
      <c r="Y5" s="23" t="s">
        <v>89</v>
      </c>
      <c r="Z5" s="23"/>
      <c r="AA5" s="23" t="s">
        <v>107</v>
      </c>
      <c r="AB5" s="23" t="s">
        <v>128</v>
      </c>
      <c r="AC5" s="23"/>
      <c r="AD5" s="23" t="s">
        <v>129</v>
      </c>
      <c r="AE5" s="23"/>
      <c r="AF5" s="23" t="s">
        <v>93</v>
      </c>
      <c r="AG5" s="23" t="s">
        <v>94</v>
      </c>
      <c r="AH5" s="27" t="str" cm="1">
        <f t="array" ref="AH5">IFERROR(_xlfn.TEXTJOIN(", ", TRUE, _xlfn.UNIQUE(_xlfn._xlws.FILTER([1]!attendance_list[Group number], [1]!attendance_list[Child ID]=[1]!child_info[[#This Row],[Child ID]]))), "no match")</f>
        <v>3-4 роки, 3-4 років, 3-5 років</v>
      </c>
      <c r="AI5" s="26">
        <f>SUMIFS([1]!attendance_list[Count],[1]!attendance_list[Child ID],[1]!child_info[[#This Row],[Child ID]])</f>
        <v>16</v>
      </c>
      <c r="AJ5" s="24">
        <f>IFERROR(1/(1/_xlfn.MAXIFS([1]!attendance_list[Date of attendence],[1]!attendance_list[Child ID],[1]!child_info[[#This Row],[Child ID]],[1]!attendance_list[Count Visits],1)),"---")</f>
        <v>45800</v>
      </c>
      <c r="AK5" s="24">
        <f>IFERROR(1/(1/_xlfn.MAXIFS([1]!attendance_list[Date of attendence],[1]!attendance_list[Child ID],[1]!child_info[[#This Row],[Child ID]],[1]!attendance_list[Count Visits],2)),"---")</f>
        <v>45803</v>
      </c>
      <c r="AL5" s="26">
        <f>SUMIFS([1]!attendance_list[Count],[1]!attendance_list[Child ID],[1]!child_info[[#This Row],[Child ID]],[1]!attendance_list[Program],[1]!child_info[[#Headers],[TEAM_UP]])</f>
        <v>0</v>
      </c>
      <c r="AM5" s="26" t="str">
        <f>IF([1]!child_info[[#This Row],[TEAM_UP]]&gt;=12,"yes","no")</f>
        <v>no</v>
      </c>
      <c r="AN5" s="24" t="str">
        <f>IFERROR(1/(1/_xlfn.MAXIFS([1]!attendance_list[Date of attendence],[1]!attendance_list[Child ID],[1]!child_info[[#This Row],[Child ID]],[1]!attendance_list[Program],"TEAM_UP",[1]!attendance_list[Count2],12)),"---")</f>
        <v>---</v>
      </c>
      <c r="AO5" s="26">
        <f>SUMIFS([1]!attendance_list[Count],[1]!attendance_list[Child ID],[1]!child_info[[#This Row],[Child ID]],[1]!attendance_list[Program],[1]!child_info[[#Headers],[HEART]])</f>
        <v>0</v>
      </c>
      <c r="AP5" s="26" t="str">
        <f>IF([1]!child_info[[#This Row],[HEART]]&gt;=10,"yes","no")</f>
        <v>no</v>
      </c>
      <c r="AQ5" s="24" t="str">
        <f>IFERROR(1/(1/_xlfn.MAXIFS([1]!attendance_list[Date of attendence],[1]!attendance_list[Child ID],[1]!child_info[[#This Row],[Child ID]],[1]!attendance_list[Program],"HEART",[1]!attendance_list[Count2],10)),"---")</f>
        <v>---</v>
      </c>
      <c r="AR5" s="26">
        <f>SUMIFS([1]!attendance_list[Count],[1]!attendance_list[Child ID],[1]!child_info[[#This Row],[Child ID]],[1]!attendance_list[Program],[1]!child_info[[#Headers],[CYR]])</f>
        <v>0</v>
      </c>
      <c r="AS5" s="26" t="str">
        <f>IF([1]!child_info[[#This Row],[CYR]]&gt;=10,"yes","no")</f>
        <v>no</v>
      </c>
      <c r="AT5" s="24" t="str">
        <f>IFERROR(1/(1/_xlfn.MAXIFS([1]!attendance_list[Date of attendence],[1]!attendance_list[Child ID],[1]!child_info[[#This Row],[Child ID]],[1]!attendance_list[Program],"CYR",[1]!attendance_list[Count2],10)),"---")</f>
        <v>---</v>
      </c>
      <c r="AU5" s="26">
        <f>SUMIFS([1]!attendance_list[Count],[1]!attendance_list[Child ID],[1]!child_info[[#This Row],[Child ID]],[1]!attendance_list[Program],[1]!child_info[[#Headers],[ISMF]])</f>
        <v>0</v>
      </c>
      <c r="AV5" s="26" t="str">
        <f>IF([1]!child_info[[#This Row],[ISMF]]&gt;=10,"yes","no")</f>
        <v>no</v>
      </c>
      <c r="AW5" s="24" t="str">
        <f>IFERROR(1/(1/_xlfn.MAXIFS([1]!attendance_list[Date of attendence],[1]!attendance_list[Child ID],[1]!child_info[[#This Row],[Child ID]],[1]!attendance_list[Program],"ISMF",[1]!attendance_list[Count2],10)),"---")</f>
        <v>---</v>
      </c>
      <c r="AX5" s="26">
        <f>SUMIFS([1]!attendance_list[Count],[1]!attendance_list[Child ID],[1]!child_info[[#This Row],[Child ID]],[1]!attendance_list[Program],"safe_families")</f>
        <v>0</v>
      </c>
      <c r="AY5" s="26">
        <f>SUMIFS([1]!attendance_list[Count],[1]!attendance_list[Child ID],[1]!child_info[[#This Row],[Child ID]],[1]!attendance_list[Program],"JSWP")</f>
        <v>0</v>
      </c>
      <c r="AZ5" s="26">
        <f>SUM([1]!child_info[[#This Row],[SF (Safe Families)]:[JSWP (Joint session with parents)]])</f>
        <v>0</v>
      </c>
      <c r="BA5" s="26" t="str">
        <f ca="1">IF([1]!child_info[[#This Row],[SF + JSWP]]&gt;=5,"yes","no")</f>
        <v>no</v>
      </c>
      <c r="BB5" s="24" t="str">
        <f>IFERROR(1/(1/_xlfn.MAXIFS([1]!attendance_list[Date of attendence],[1]!attendance_list[Child ID],[1]!child_info[[#This Row],[Child ID]],[1]!attendance_list[Count SF+JSPW],5)),"---")</f>
        <v>---</v>
      </c>
      <c r="BC5" s="28">
        <f>SUMIFS([1]!attendance_list[Count],[1]!attendance_list[Child ID],[1]!child_info[[#This Row],[Child ID]],[1]!attendance_list[Program],"recreational_activity")</f>
        <v>16</v>
      </c>
      <c r="BD5" s="26">
        <f>SUMIFS([1]!attendance_list[Count],[1]!attendance_list[Child ID],[1]!child_info[[#This Row],[Child ID]],[1]!attendance_list[Program],"informal_education_activity")</f>
        <v>0</v>
      </c>
      <c r="BE5" s="26">
        <f>SUMIFS([1]!attendance_list[Count],[1]!attendance_list[Child ID],[1]!child_info[[#This Row],[Child ID]],[1]!attendance_list[Program],[1]!child_info[[#Headers],[SEL]])</f>
        <v>0</v>
      </c>
      <c r="BF5" s="26">
        <f>SUMIFS([1]!attendance_list[Count],[1]!attendance_list[Child ID],[1]!child_info[[#This Row],[Child ID]],[1]!attendance_list[Program],[1]!child_info[[#Headers],[SOCR]])</f>
        <v>0</v>
      </c>
      <c r="BG5" s="26">
        <f>SUMIFS([1]!attendance_list[Count],[1]!attendance_list[Child ID],[1]!child_info[[#This Row],[Child ID]],[1]!attendance_list[Program],[1]!child_info[[#Headers],[EORE]])</f>
        <v>0</v>
      </c>
      <c r="BH5" s="26">
        <f>SUMIFS([1]!attendance_list[Count],[1]!attendance_list[Child ID],[1]!child_info[[#This Row],[Child ID]],[1]!attendance_list[Program],[1]!child_info[[#Headers],[GBV]])</f>
        <v>0</v>
      </c>
      <c r="BI5" s="26">
        <f>SUMIFS([1]!attendance_list[Count],[1]!attendance_list[Child ID],[1]!child_info[[#This Row],[Child ID]],[1]!attendance_list[Program],[1]!child_info[[#Headers],[LA]])</f>
        <v>0</v>
      </c>
      <c r="BJ5" s="23" t="s">
        <v>110</v>
      </c>
      <c r="BK5" s="23" t="s">
        <v>110</v>
      </c>
      <c r="BL5" s="23" t="s">
        <v>110</v>
      </c>
      <c r="BM5" s="23" t="s">
        <v>110</v>
      </c>
      <c r="BN5" s="23" t="s">
        <v>110</v>
      </c>
      <c r="BO5" s="23" t="s">
        <v>96</v>
      </c>
      <c r="BP5" s="29">
        <v>45861.575497685182</v>
      </c>
      <c r="BQ5" s="29">
        <v>46057.597511574073</v>
      </c>
      <c r="BR5" s="23" t="s">
        <v>97</v>
      </c>
      <c r="BS5" s="30" t="str">
        <f>_xlfn.CONCAT([1]!child_info[[#This Row],[Сhild Full Name]],[1]!child_info[[#This Row],[Date of birth]])</f>
        <v>Кульба Олександр44686</v>
      </c>
    </row>
  </sheetData>
  <conditionalFormatting sqref="BS1:BS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Rostislav Miroshnichenko</dc:creator>
  <cp:lastModifiedBy>Miroshnichenko, Rostislav</cp:lastModifiedBy>
  <dcterms:created xsi:type="dcterms:W3CDTF">2015-06-05T18:17:20Z</dcterms:created>
  <dcterms:modified xsi:type="dcterms:W3CDTF">2026-02-21T13:28:44Z</dcterms:modified>
</cp:coreProperties>
</file>